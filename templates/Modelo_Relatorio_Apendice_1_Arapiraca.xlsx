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3307c217719f699/Inteligência Artificial/Claude Code/"/>
    </mc:Choice>
  </mc:AlternateContent>
  <xr:revisionPtr revIDLastSave="283" documentId="8_{4C673B6E-99DC-4BB7-BE25-593200E5ED6C}" xr6:coauthVersionLast="47" xr6:coauthVersionMax="47" xr10:uidLastSave="{5955173E-A9D0-48B2-B59F-29AFB45E1F62}"/>
  <bookViews>
    <workbookView xWindow="-108" yWindow="-108" windowWidth="23256" windowHeight="12456" xr2:uid="{D3D6AB8F-5005-43E3-83A1-D7112E6844B5}"/>
  </bookViews>
  <sheets>
    <sheet name="APENDICE_ORCAMENT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0" i="1"/>
  <c r="H56" i="1" s="1"/>
  <c r="G50" i="1"/>
  <c r="G56" i="1" s="1"/>
  <c r="F50" i="1"/>
  <c r="F56" i="1" s="1"/>
  <c r="E50" i="1"/>
  <c r="E56" i="1" s="1"/>
  <c r="D50" i="1"/>
  <c r="D56" i="1" s="1"/>
  <c r="D57" i="1" s="1"/>
  <c r="C50" i="1"/>
  <c r="C56" i="1" s="1"/>
  <c r="G49" i="1"/>
  <c r="D49" i="1"/>
  <c r="H44" i="1"/>
  <c r="H49" i="1" s="1"/>
  <c r="G44" i="1"/>
  <c r="F44" i="1"/>
  <c r="F49" i="1" s="1"/>
  <c r="E44" i="1"/>
  <c r="E49" i="1" s="1"/>
  <c r="D44" i="1"/>
  <c r="C44" i="1"/>
  <c r="C49" i="1" s="1"/>
  <c r="F35" i="1"/>
  <c r="H57" i="1" l="1"/>
  <c r="G57" i="1"/>
  <c r="F57" i="1"/>
  <c r="E57" i="1"/>
  <c r="C64" i="1" s="1"/>
  <c r="C57" i="1"/>
  <c r="F19" i="1"/>
  <c r="E27" i="1"/>
  <c r="D27" i="1"/>
  <c r="D23" i="1" s="1"/>
  <c r="C27" i="1"/>
  <c r="C23" i="1" s="1"/>
  <c r="E15" i="1"/>
  <c r="E8" i="1" s="1"/>
  <c r="D15" i="1"/>
  <c r="D8" i="1" s="1"/>
  <c r="D22" i="1" s="1"/>
  <c r="C15" i="1"/>
  <c r="C8" i="1" s="1"/>
  <c r="F34" i="1"/>
  <c r="F33" i="1"/>
  <c r="F32" i="1"/>
  <c r="F31" i="1"/>
  <c r="F30" i="1"/>
  <c r="F29" i="1"/>
  <c r="F28" i="1"/>
  <c r="F26" i="1"/>
  <c r="F25" i="1"/>
  <c r="F24" i="1"/>
  <c r="F20" i="1"/>
  <c r="F18" i="1"/>
  <c r="F17" i="1"/>
  <c r="F16" i="1"/>
  <c r="F10" i="1"/>
  <c r="F11" i="1"/>
  <c r="F12" i="1"/>
  <c r="F13" i="1"/>
  <c r="F14" i="1"/>
  <c r="F9" i="1"/>
  <c r="B65" i="1"/>
  <c r="B64" i="1"/>
  <c r="B63" i="1"/>
  <c r="C62" i="1"/>
  <c r="B62" i="1"/>
  <c r="H7" i="1"/>
  <c r="G7" i="1"/>
  <c r="F7" i="1"/>
  <c r="E7" i="1"/>
  <c r="D7" i="1"/>
  <c r="C7" i="1"/>
  <c r="E37" i="1" l="1"/>
  <c r="E23" i="1"/>
  <c r="F23" i="1" s="1"/>
  <c r="F21" i="1"/>
  <c r="F36" i="1"/>
  <c r="F27" i="1"/>
  <c r="F15" i="1"/>
  <c r="D37" i="1"/>
  <c r="D38" i="1" s="1"/>
  <c r="C37" i="1"/>
  <c r="C22" i="1"/>
  <c r="F8" i="1"/>
  <c r="E22" i="1"/>
  <c r="F37" i="1" l="1"/>
  <c r="F22" i="1"/>
  <c r="C38" i="1"/>
  <c r="E38" i="1"/>
  <c r="G35" i="1" s="1"/>
  <c r="F38" i="1" l="1"/>
  <c r="G19" i="1"/>
  <c r="G36" i="1"/>
  <c r="G8" i="1"/>
  <c r="G17" i="1"/>
  <c r="G31" i="1"/>
  <c r="G24" i="1"/>
  <c r="G29" i="1"/>
  <c r="G15" i="1"/>
  <c r="G27" i="1"/>
  <c r="G34" i="1"/>
  <c r="G25" i="1"/>
  <c r="G11" i="1"/>
  <c r="G26" i="1"/>
  <c r="G30" i="1"/>
  <c r="G21" i="1"/>
  <c r="G22" i="1"/>
  <c r="G28" i="1"/>
  <c r="C63" i="1"/>
  <c r="C65" i="1" s="1"/>
  <c r="G20" i="1"/>
  <c r="G37" i="1"/>
  <c r="G16" i="1"/>
  <c r="G18" i="1"/>
  <c r="G32" i="1"/>
  <c r="G9" i="1"/>
  <c r="G33" i="1"/>
  <c r="G10" i="1"/>
  <c r="G12" i="1"/>
  <c r="G23" i="1"/>
  <c r="G14" i="1"/>
  <c r="G13" i="1"/>
  <c r="G38" i="1"/>
</calcChain>
</file>

<file path=xl/sharedStrings.xml><?xml version="1.0" encoding="utf-8"?>
<sst xmlns="http://schemas.openxmlformats.org/spreadsheetml/2006/main" count="67" uniqueCount="63">
  <si>
    <t>APÊNDICE I</t>
  </si>
  <si>
    <t>Bloco A - DEMONSTRATIVO ANALÍTICO DA EXECUÇÃO DA RECEITA</t>
  </si>
  <si>
    <t>Bloco - B - DEMONSTRATIVO ANALÍTICO DA EXECUÇÃO DA DESPESA</t>
  </si>
  <si>
    <t>Bloco C - RESULTADO ORÇAMENTÁRIO</t>
  </si>
  <si>
    <t>Prefeitura Municipal de Arapiraca  — Exercício de 2025</t>
  </si>
  <si>
    <t>Receitas Orçamentárias</t>
  </si>
  <si>
    <t>Receitas Correntes (I)</t>
  </si>
  <si>
    <t>Impostos, Taxas e Contribuições de Melhoria</t>
  </si>
  <si>
    <t xml:space="preserve">Contribuições </t>
  </si>
  <si>
    <t>Receita Patrimonial</t>
  </si>
  <si>
    <t>Receita Agropecuária</t>
  </si>
  <si>
    <t>Receita Industrial</t>
  </si>
  <si>
    <t>Receita de Serviços</t>
  </si>
  <si>
    <t>Transferências Correntes</t>
  </si>
  <si>
    <t xml:space="preserve">       Transferências dos Estados e do Distrito Federal e de suas Entidades</t>
  </si>
  <si>
    <t xml:space="preserve">       Transferências de Outras Instituições Públicas</t>
  </si>
  <si>
    <t>Outras Receitas Correntes</t>
  </si>
  <si>
    <t>Receitas Intraorçamentárias Correntes (II)</t>
  </si>
  <si>
    <t>Subtotal das Receitas Correntes (III) =( I+II)</t>
  </si>
  <si>
    <t>Receitas de Capital (IV)</t>
  </si>
  <si>
    <t xml:space="preserve">Operações de Crédito </t>
  </si>
  <si>
    <t>Alienação de Bens</t>
  </si>
  <si>
    <t>Amortização de Empréstimos</t>
  </si>
  <si>
    <t>Transferências de Capital</t>
  </si>
  <si>
    <t xml:space="preserve">       Transferências da União e de suas Entidades</t>
  </si>
  <si>
    <t xml:space="preserve">       Transferências dos Estados e de suas Entidades</t>
  </si>
  <si>
    <t xml:space="preserve">       Transferências dos Municípios e de suas Entidades</t>
  </si>
  <si>
    <t xml:space="preserve">       Transferências de Instituições Privadas</t>
  </si>
  <si>
    <t>Receitas Intraorçamentárias de Capital (V)</t>
  </si>
  <si>
    <t>Subtotal das Receitas de Capital (VI) =( IV+V)</t>
  </si>
  <si>
    <t>TOTAL DAS RECEITAS VIII (III+VI)</t>
  </si>
  <si>
    <t xml:space="preserve">       Demais Transferências Correntes</t>
  </si>
  <si>
    <t xml:space="preserve">       Transferências do Exterior</t>
  </si>
  <si>
    <t>Receitas</t>
  </si>
  <si>
    <t>Previsão Inicial (a)</t>
  </si>
  <si>
    <t>Previsão Atualizada (b)</t>
  </si>
  <si>
    <t>Receita Arrecadada ( c )</t>
  </si>
  <si>
    <t>Diferença ( c - b)</t>
  </si>
  <si>
    <t>A.V.%</t>
  </si>
  <si>
    <t>A.H.% (c/b)</t>
  </si>
  <si>
    <t>Despesas</t>
  </si>
  <si>
    <t>Dotação Inicial</t>
  </si>
  <si>
    <t>Dotação Atualizada</t>
  </si>
  <si>
    <t>Empenhado</t>
  </si>
  <si>
    <t>Liquidado</t>
  </si>
  <si>
    <t>Pago</t>
  </si>
  <si>
    <t>RPNP</t>
  </si>
  <si>
    <t xml:space="preserve">       Demais Transferências de Capital</t>
  </si>
  <si>
    <t>Outras Receitas de Capital</t>
  </si>
  <si>
    <t>Despesas Correntes (I)</t>
  </si>
  <si>
    <t>Pessoal e Encargos Sociais</t>
  </si>
  <si>
    <t>Juros e Encargos da Dívida</t>
  </si>
  <si>
    <t>Outras Despesas Correntes</t>
  </si>
  <si>
    <t>Despesas Intraorçamentárias Correntes (II)</t>
  </si>
  <si>
    <t>Subtotal da despesa corrente III= (I+II)</t>
  </si>
  <si>
    <t>Despesas de Capital  (IV)</t>
  </si>
  <si>
    <t>Investimentos</t>
  </si>
  <si>
    <t>Inversões Financeiras</t>
  </si>
  <si>
    <t>Amortização da Dívida</t>
  </si>
  <si>
    <t>Reserva de Contingência (V)</t>
  </si>
  <si>
    <t>Despesas Intraorçamentárias de Capital  (VI)</t>
  </si>
  <si>
    <t>Subtotal da despesa de capital  VII= (IV+V+VI)</t>
  </si>
  <si>
    <t>TOTAL DAS DESPESAS VIII = (III) + (VII)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</si>
</sst>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R\$\ #,##0.00"/>
    <numFmt numFmtId="165" formatCode="_-* #,##0.00_-;\-* #,##0.00_-;_-* &quot;0,00&quot;??_-;_-@_-"/>
  </numFmts>
  <fonts count="13" x14ac:knownFonts="1">
    <font>
      <sz val="11"/>
      <color theme="1"/>
      <name val="Calibri"/>
    </font>
    <font>
      <b/>
      <sz val="10"/>
      <color rgb="FF000000"/>
      <name val="Calibri"/>
      <family val="2"/>
    </font>
    <font>
      <sz val="9"/>
      <color rgb="FF404040"/>
      <name val="Calibri"/>
      <family val="2"/>
    </font>
    <font>
      <sz val="11"/>
      <color rgb="FFFF0000"/>
      <name val="Calibri"/>
      <family val="2"/>
    </font>
    <font>
      <b/>
      <sz val="11"/>
      <color rgb="FF1F4E79"/>
      <name val="Calibri"/>
      <family val="2"/>
    </font>
    <font>
      <b/>
      <sz val="10"/>
      <color rgb="FF1F4E79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i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4F7"/>
      </patternFill>
    </fill>
    <fill>
      <patternFill patternType="solid">
        <fgColor rgb="FFEEF6FC"/>
      </patternFill>
    </fill>
    <fill>
      <patternFill patternType="solid">
        <fgColor rgb="FFD9E2F3"/>
      </patternFill>
    </fill>
    <fill>
      <patternFill patternType="solid">
        <fgColor rgb="FFD9EAF7"/>
      </patternFill>
    </fill>
    <fill>
      <patternFill patternType="solid">
        <fgColor rgb="FFFBFCFD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/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rgb="FF1F4E79"/>
      </top>
      <bottom style="thin">
        <color rgb="FFC7C7C7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5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10" fontId="5" fillId="4" borderId="1" xfId="0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0" fontId="1" fillId="3" borderId="1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right" vertical="center" wrapText="1"/>
    </xf>
    <xf numFmtId="10" fontId="8" fillId="7" borderId="1" xfId="0" applyNumberFormat="1" applyFont="1" applyFill="1" applyBorder="1" applyAlignment="1">
      <alignment horizontal="right" vertical="center" wrapText="1"/>
    </xf>
    <xf numFmtId="0" fontId="8" fillId="8" borderId="2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10" fontId="8" fillId="8" borderId="1" xfId="0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/>
    <xf numFmtId="0" fontId="0" fillId="2" borderId="5" xfId="0" applyFill="1" applyBorder="1"/>
    <xf numFmtId="0" fontId="10" fillId="2" borderId="5" xfId="0" applyFont="1" applyFill="1" applyBorder="1"/>
    <xf numFmtId="0" fontId="1" fillId="6" borderId="6" xfId="0" applyFont="1" applyFill="1" applyBorder="1" applyAlignment="1">
      <alignment horizontal="center" vertical="center" wrapText="1"/>
    </xf>
    <xf numFmtId="0" fontId="9" fillId="2" borderId="3" xfId="0" applyFont="1" applyFill="1" applyBorder="1"/>
    <xf numFmtId="0" fontId="8" fillId="7" borderId="6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43" fontId="0" fillId="0" borderId="0" xfId="1" applyFont="1"/>
    <xf numFmtId="165" fontId="8" fillId="8" borderId="1" xfId="1" applyNumberFormat="1" applyFont="1" applyFill="1" applyBorder="1" applyAlignment="1">
      <alignment horizontal="right" vertical="center" wrapText="1"/>
    </xf>
    <xf numFmtId="165" fontId="1" fillId="3" borderId="1" xfId="1" applyNumberFormat="1" applyFont="1" applyFill="1" applyBorder="1" applyAlignment="1">
      <alignment horizontal="right" vertical="center" wrapText="1"/>
    </xf>
    <xf numFmtId="165" fontId="8" fillId="7" borderId="1" xfId="1" applyNumberFormat="1" applyFont="1" applyFill="1" applyBorder="1" applyAlignment="1">
      <alignment horizontal="right" vertical="center" wrapText="1"/>
    </xf>
    <xf numFmtId="165" fontId="8" fillId="2" borderId="1" xfId="1" applyNumberFormat="1" applyFont="1" applyFill="1" applyBorder="1" applyAlignment="1">
      <alignment horizontal="right" vertical="center" wrapText="1"/>
    </xf>
    <xf numFmtId="165" fontId="1" fillId="2" borderId="1" xfId="1" applyNumberFormat="1" applyFont="1" applyFill="1" applyBorder="1" applyAlignment="1">
      <alignment horizontal="right" vertical="center" wrapText="1"/>
    </xf>
    <xf numFmtId="43" fontId="0" fillId="0" borderId="0" xfId="0" applyNumberFormat="1"/>
    <xf numFmtId="0" fontId="12" fillId="8" borderId="2" xfId="0" applyFont="1" applyFill="1" applyBorder="1" applyAlignment="1">
      <alignment horizontal="left" vertical="center" wrapText="1"/>
    </xf>
    <xf numFmtId="165" fontId="12" fillId="8" borderId="1" xfId="1" applyNumberFormat="1" applyFont="1" applyFill="1" applyBorder="1" applyAlignment="1">
      <alignment horizontal="right" vertical="center" wrapText="1"/>
    </xf>
    <xf numFmtId="165" fontId="12" fillId="7" borderId="1" xfId="1" applyNumberFormat="1" applyFont="1" applyFill="1" applyBorder="1" applyAlignment="1">
      <alignment horizontal="right" vertical="center" wrapText="1"/>
    </xf>
    <xf numFmtId="10" fontId="12" fillId="8" borderId="1" xfId="0" applyNumberFormat="1" applyFont="1" applyFill="1" applyBorder="1" applyAlignment="1">
      <alignment horizontal="right" vertical="center" wrapText="1"/>
    </xf>
    <xf numFmtId="0" fontId="12" fillId="7" borderId="2" xfId="0" applyFont="1" applyFill="1" applyBorder="1" applyAlignment="1">
      <alignment horizontal="left" vertical="center" wrapText="1"/>
    </xf>
    <xf numFmtId="10" fontId="12" fillId="7" borderId="1" xfId="0" applyNumberFormat="1" applyFont="1" applyFill="1" applyBorder="1" applyAlignment="1">
      <alignment horizontal="right" vertical="center" wrapText="1"/>
    </xf>
    <xf numFmtId="165" fontId="12" fillId="2" borderId="1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8" fillId="7" borderId="7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sson.lima\Downloads\MODELO_OR&#199;AMENTO_V1.xlsx" TargetMode="External"/><Relationship Id="rId1" Type="http://schemas.openxmlformats.org/officeDocument/2006/relationships/externalLinkPath" Target="file:///C:\Users\alisson.lima\Downloads\MODELO_OR&#199;AMENTO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ENDICE_ORCAMENTO"/>
      <sheetName val="ORCAMENTO_A PREENCHER"/>
      <sheetName val="ORCAMENTO_SINTETICO_TEXTOS"/>
    </sheetNames>
    <sheetDataSet>
      <sheetData sheetId="0" refreshError="1"/>
      <sheetData sheetId="1">
        <row r="40">
          <cell r="A40" t="str">
            <v>Despesas Correntes (I)</v>
          </cell>
        </row>
        <row r="58">
          <cell r="A58" t="str">
            <v>Descrição</v>
          </cell>
          <cell r="B58" t="str">
            <v>Valor (R$)</v>
          </cell>
        </row>
        <row r="59">
          <cell r="A59" t="str">
            <v>Receitas Arrecadada (I)</v>
          </cell>
        </row>
        <row r="60">
          <cell r="A60" t="str">
            <v>Despesas Empenhadas (II)</v>
          </cell>
        </row>
        <row r="61">
          <cell r="A61" t="str">
            <v>Resultado Orçamentário (III = I - II)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EA1-6E42-4049-A048-B58E011FA4D1}">
  <sheetPr>
    <pageSetUpPr fitToPage="1"/>
  </sheetPr>
  <dimension ref="A1:Q65"/>
  <sheetViews>
    <sheetView showGridLines="0" tabSelected="1" zoomScale="115" zoomScaleNormal="115" workbookViewId="0">
      <selection activeCell="H55" sqref="H55"/>
    </sheetView>
  </sheetViews>
  <sheetFormatPr defaultRowHeight="14.4" x14ac:dyDescent="0.3"/>
  <cols>
    <col min="1" max="1" width="5.6640625" style="1" customWidth="1"/>
    <col min="2" max="2" width="43" customWidth="1"/>
    <col min="3" max="3" width="17.5546875" customWidth="1"/>
    <col min="4" max="4" width="19" bestFit="1" customWidth="1"/>
    <col min="5" max="5" width="19.6640625" bestFit="1" customWidth="1"/>
    <col min="6" max="6" width="16.21875" bestFit="1" customWidth="1"/>
    <col min="7" max="7" width="16.109375" bestFit="1" customWidth="1"/>
    <col min="8" max="8" width="13.5546875" bestFit="1" customWidth="1"/>
    <col min="9" max="9" width="3" customWidth="1"/>
    <col min="10" max="11" width="16" customWidth="1"/>
  </cols>
  <sheetData>
    <row r="1" spans="1:17" ht="14.4" customHeight="1" thickBot="1" x14ac:dyDescent="0.35">
      <c r="J1" s="48"/>
      <c r="K1" s="48"/>
      <c r="L1" s="48"/>
      <c r="M1" s="48"/>
      <c r="N1" s="48"/>
      <c r="O1" s="48"/>
      <c r="P1" s="48"/>
      <c r="Q1" s="48"/>
    </row>
    <row r="2" spans="1:17" ht="22.05" customHeight="1" x14ac:dyDescent="0.3">
      <c r="A2" s="2"/>
      <c r="B2" s="49" t="s">
        <v>0</v>
      </c>
      <c r="C2" s="50"/>
      <c r="D2" s="50"/>
      <c r="E2" s="50"/>
      <c r="F2" s="50"/>
      <c r="G2" s="50"/>
      <c r="H2" s="50"/>
      <c r="J2" s="48"/>
      <c r="K2" s="48"/>
      <c r="L2" s="48"/>
      <c r="M2" s="48"/>
      <c r="N2" s="48"/>
      <c r="O2" s="48"/>
      <c r="P2" s="48"/>
      <c r="Q2" s="48"/>
    </row>
    <row r="3" spans="1:17" ht="22.05" customHeight="1" x14ac:dyDescent="0.3">
      <c r="A3" s="3"/>
      <c r="B3" s="51" t="s">
        <v>1</v>
      </c>
      <c r="C3" s="52"/>
      <c r="D3" s="52"/>
      <c r="E3" s="52"/>
      <c r="F3" s="52"/>
      <c r="G3" s="52"/>
      <c r="H3" s="52"/>
    </row>
    <row r="4" spans="1:17" ht="19.95" customHeight="1" x14ac:dyDescent="0.3">
      <c r="A4" s="3"/>
      <c r="B4" s="57" t="s">
        <v>4</v>
      </c>
      <c r="C4" s="52"/>
      <c r="D4" s="52"/>
      <c r="E4" s="52"/>
      <c r="F4" s="52"/>
      <c r="G4" s="52"/>
      <c r="H4" s="52"/>
    </row>
    <row r="5" spans="1:17" x14ac:dyDescent="0.3">
      <c r="A5" s="3"/>
    </row>
    <row r="6" spans="1:17" ht="22.8" customHeight="1" x14ac:dyDescent="0.3">
      <c r="A6" s="4"/>
      <c r="B6" s="5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7" t="s">
        <v>38</v>
      </c>
      <c r="H6" s="7" t="s">
        <v>39</v>
      </c>
    </row>
    <row r="7" spans="1:17" ht="19.95" customHeight="1" x14ac:dyDescent="0.3">
      <c r="A7" s="4"/>
      <c r="B7" s="8" t="s">
        <v>5</v>
      </c>
      <c r="C7" s="9" t="str">
        <f>IF('[1]ORCAMENTO_A PREENCHER'!B4="","",'[1]ORCAMENTO_A PREENCHER'!B4)</f>
        <v/>
      </c>
      <c r="D7" s="9" t="str">
        <f>IF('[1]ORCAMENTO_A PREENCHER'!C4="","",'[1]ORCAMENTO_A PREENCHER'!C4)</f>
        <v/>
      </c>
      <c r="E7" s="9" t="str">
        <f>IF('[1]ORCAMENTO_A PREENCHER'!D4="","",'[1]ORCAMENTO_A PREENCHER'!D4)</f>
        <v/>
      </c>
      <c r="F7" s="9" t="str">
        <f>IF('[1]ORCAMENTO_A PREENCHER'!E4="","",'[1]ORCAMENTO_A PREENCHER'!E4)</f>
        <v/>
      </c>
      <c r="G7" s="10" t="str">
        <f>IF('[1]ORCAMENTO_A PREENCHER'!F4="","",'[1]ORCAMENTO_A PREENCHER'!F4)</f>
        <v/>
      </c>
      <c r="H7" s="10" t="str">
        <f>IF('[1]ORCAMENTO_A PREENCHER'!G4="","",'[1]ORCAMENTO_A PREENCHER'!G4)</f>
        <v/>
      </c>
    </row>
    <row r="8" spans="1:17" ht="19.95" customHeight="1" x14ac:dyDescent="0.3">
      <c r="A8" s="11"/>
      <c r="B8" s="12" t="s">
        <v>6</v>
      </c>
      <c r="C8" s="36">
        <f>SUM(C9:C15,C20)</f>
        <v>1030471541</v>
      </c>
      <c r="D8" s="36">
        <f>SUM(D9:D15,D20)</f>
        <v>1218263018.8</v>
      </c>
      <c r="E8" s="36">
        <f>SUM(E9:E15,E20)</f>
        <v>1267662215.6100001</v>
      </c>
      <c r="F8" s="36">
        <f>SUM(F9:F15)</f>
        <v>49797612.649999954</v>
      </c>
      <c r="G8" s="13">
        <f t="shared" ref="G8:G38" si="0">E8/$E$38</f>
        <v>0.85495432752255007</v>
      </c>
      <c r="H8" s="13">
        <f>IF(F8=0,0,E8/D8)</f>
        <v>1.0405488765953503</v>
      </c>
    </row>
    <row r="9" spans="1:17" ht="19.95" customHeight="1" x14ac:dyDescent="0.3">
      <c r="A9" s="14"/>
      <c r="B9" s="15" t="s">
        <v>7</v>
      </c>
      <c r="C9" s="35">
        <v>154501230</v>
      </c>
      <c r="D9" s="35">
        <v>163076230</v>
      </c>
      <c r="E9" s="35">
        <v>177523088.02000001</v>
      </c>
      <c r="F9" s="35">
        <f>E9-D9</f>
        <v>14446858.020000011</v>
      </c>
      <c r="G9" s="17">
        <f t="shared" si="0"/>
        <v>0.119727582370854</v>
      </c>
      <c r="H9" s="17">
        <f t="shared" ref="H9:H38" si="1">IF(F9=0,0,E9/D9)</f>
        <v>1.0885896002133482</v>
      </c>
    </row>
    <row r="10" spans="1:17" ht="19.95" customHeight="1" x14ac:dyDescent="0.3">
      <c r="A10" s="14"/>
      <c r="B10" s="18" t="s">
        <v>8</v>
      </c>
      <c r="C10" s="35">
        <v>62838122</v>
      </c>
      <c r="D10" s="35">
        <v>62838122</v>
      </c>
      <c r="E10" s="35">
        <v>64420177.630000003</v>
      </c>
      <c r="F10" s="35">
        <f t="shared" ref="F10:F20" si="2">E10-D10</f>
        <v>1582055.6300000027</v>
      </c>
      <c r="G10" s="20">
        <f t="shared" si="0"/>
        <v>4.3447149379645361E-2</v>
      </c>
      <c r="H10" s="20">
        <f t="shared" si="1"/>
        <v>1.0251766854203568</v>
      </c>
    </row>
    <row r="11" spans="1:17" ht="19.95" customHeight="1" x14ac:dyDescent="0.3">
      <c r="A11" s="14"/>
      <c r="B11" s="15" t="s">
        <v>9</v>
      </c>
      <c r="C11" s="35">
        <v>11065000</v>
      </c>
      <c r="D11" s="35">
        <v>17021578.18</v>
      </c>
      <c r="E11" s="35">
        <v>39350270.57</v>
      </c>
      <c r="F11" s="35">
        <f t="shared" si="2"/>
        <v>22328692.390000001</v>
      </c>
      <c r="G11" s="17">
        <f t="shared" si="0"/>
        <v>2.6539155067279382E-2</v>
      </c>
      <c r="H11" s="17">
        <f t="shared" si="1"/>
        <v>2.3117874355643329</v>
      </c>
    </row>
    <row r="12" spans="1:17" ht="19.95" customHeight="1" x14ac:dyDescent="0.3">
      <c r="A12" s="14"/>
      <c r="B12" s="18" t="s">
        <v>10</v>
      </c>
      <c r="C12" s="35">
        <v>0</v>
      </c>
      <c r="D12" s="35">
        <v>0</v>
      </c>
      <c r="E12" s="35">
        <v>0</v>
      </c>
      <c r="F12" s="35">
        <f t="shared" si="2"/>
        <v>0</v>
      </c>
      <c r="G12" s="20">
        <f t="shared" si="0"/>
        <v>0</v>
      </c>
      <c r="H12" s="20">
        <f t="shared" si="1"/>
        <v>0</v>
      </c>
    </row>
    <row r="13" spans="1:17" ht="19.95" customHeight="1" x14ac:dyDescent="0.3">
      <c r="A13" s="14"/>
      <c r="B13" s="15" t="s">
        <v>11</v>
      </c>
      <c r="C13" s="35">
        <v>0</v>
      </c>
      <c r="D13" s="35">
        <v>0</v>
      </c>
      <c r="E13" s="35">
        <v>0</v>
      </c>
      <c r="F13" s="35">
        <f t="shared" si="2"/>
        <v>0</v>
      </c>
      <c r="G13" s="17">
        <f t="shared" si="0"/>
        <v>0</v>
      </c>
      <c r="H13" s="17">
        <f t="shared" si="1"/>
        <v>0</v>
      </c>
    </row>
    <row r="14" spans="1:17" ht="19.95" customHeight="1" x14ac:dyDescent="0.3">
      <c r="A14" s="14"/>
      <c r="B14" s="18" t="s">
        <v>12</v>
      </c>
      <c r="C14" s="35">
        <v>840000</v>
      </c>
      <c r="D14" s="35">
        <v>840000</v>
      </c>
      <c r="E14" s="35">
        <v>3307603.67</v>
      </c>
      <c r="F14" s="35">
        <f t="shared" si="2"/>
        <v>2467603.67</v>
      </c>
      <c r="G14" s="20">
        <f t="shared" si="0"/>
        <v>2.2307599268746878E-3</v>
      </c>
      <c r="H14" s="20">
        <f t="shared" si="1"/>
        <v>3.9376234166666664</v>
      </c>
    </row>
    <row r="15" spans="1:17" ht="19.95" customHeight="1" x14ac:dyDescent="0.3">
      <c r="A15" s="14"/>
      <c r="B15" s="15" t="s">
        <v>13</v>
      </c>
      <c r="C15" s="37">
        <f>SUM(C16:C19)</f>
        <v>791418189</v>
      </c>
      <c r="D15" s="37">
        <f>SUM(D16:D19)</f>
        <v>963373088.62</v>
      </c>
      <c r="E15" s="37">
        <f>SUM(E16:E19)</f>
        <v>972345491.55999994</v>
      </c>
      <c r="F15" s="37">
        <f>E15-D15</f>
        <v>8972402.939999938</v>
      </c>
      <c r="G15" s="17">
        <f t="shared" si="0"/>
        <v>0.65578272793769088</v>
      </c>
      <c r="H15" s="17">
        <f t="shared" si="1"/>
        <v>1.0093135287314829</v>
      </c>
    </row>
    <row r="16" spans="1:17" ht="19.95" customHeight="1" x14ac:dyDescent="0.3">
      <c r="A16" s="14"/>
      <c r="B16" s="41" t="s">
        <v>24</v>
      </c>
      <c r="C16" s="42">
        <v>517187290</v>
      </c>
      <c r="D16" s="42">
        <v>666353722.38</v>
      </c>
      <c r="E16" s="42">
        <v>676076591.99000001</v>
      </c>
      <c r="F16" s="43">
        <f t="shared" si="2"/>
        <v>9722869.6100000143</v>
      </c>
      <c r="G16" s="44">
        <f t="shared" si="0"/>
        <v>0.45596894893676926</v>
      </c>
      <c r="H16" s="44">
        <f t="shared" si="1"/>
        <v>1.0145911537422994</v>
      </c>
    </row>
    <row r="17" spans="1:8" ht="19.95" customHeight="1" x14ac:dyDescent="0.3">
      <c r="A17" s="14"/>
      <c r="B17" s="45" t="s">
        <v>14</v>
      </c>
      <c r="C17" s="43">
        <v>99185534</v>
      </c>
      <c r="D17" s="43">
        <v>100090603</v>
      </c>
      <c r="E17" s="43">
        <v>97569834.299999997</v>
      </c>
      <c r="F17" s="43">
        <f t="shared" si="2"/>
        <v>-2520768.700000003</v>
      </c>
      <c r="G17" s="46">
        <f t="shared" si="0"/>
        <v>6.5804400449296696E-2</v>
      </c>
      <c r="H17" s="46">
        <f t="shared" si="1"/>
        <v>0.97481513124663655</v>
      </c>
    </row>
    <row r="18" spans="1:8" ht="19.95" customHeight="1" x14ac:dyDescent="0.3">
      <c r="A18" s="14"/>
      <c r="B18" s="41" t="s">
        <v>15</v>
      </c>
      <c r="C18" s="42">
        <v>174994365</v>
      </c>
      <c r="D18" s="42">
        <v>196877763.24000001</v>
      </c>
      <c r="E18" s="42">
        <v>198699065.27000001</v>
      </c>
      <c r="F18" s="43">
        <f t="shared" si="2"/>
        <v>1821302.0300000012</v>
      </c>
      <c r="G18" s="44">
        <f t="shared" si="0"/>
        <v>0.13400937855162498</v>
      </c>
      <c r="H18" s="44">
        <f t="shared" si="1"/>
        <v>1.0092509280887134</v>
      </c>
    </row>
    <row r="19" spans="1:8" ht="19.95" customHeight="1" x14ac:dyDescent="0.3">
      <c r="A19" s="14"/>
      <c r="B19" s="41" t="s">
        <v>31</v>
      </c>
      <c r="C19" s="47">
        <v>51000</v>
      </c>
      <c r="D19" s="42">
        <v>51000</v>
      </c>
      <c r="E19" s="42">
        <v>0</v>
      </c>
      <c r="F19" s="43">
        <f t="shared" si="2"/>
        <v>-51000</v>
      </c>
      <c r="G19" s="44">
        <f t="shared" si="0"/>
        <v>0</v>
      </c>
      <c r="H19" s="44">
        <f t="shared" si="1"/>
        <v>0</v>
      </c>
    </row>
    <row r="20" spans="1:8" ht="19.95" customHeight="1" x14ac:dyDescent="0.3">
      <c r="A20" s="14"/>
      <c r="B20" s="21" t="s">
        <v>16</v>
      </c>
      <c r="C20" s="38">
        <v>9809000</v>
      </c>
      <c r="D20" s="38">
        <v>11114000</v>
      </c>
      <c r="E20" s="38">
        <v>10715584.16</v>
      </c>
      <c r="F20" s="37">
        <f t="shared" si="2"/>
        <v>-398415.83999999985</v>
      </c>
      <c r="G20" s="22">
        <f t="shared" si="0"/>
        <v>7.2269528402056594E-3</v>
      </c>
      <c r="H20" s="22">
        <f t="shared" si="1"/>
        <v>0.96415189490732411</v>
      </c>
    </row>
    <row r="21" spans="1:8" ht="19.95" customHeight="1" x14ac:dyDescent="0.3">
      <c r="A21" s="11"/>
      <c r="B21" s="12" t="s">
        <v>17</v>
      </c>
      <c r="C21" s="36">
        <v>92299336</v>
      </c>
      <c r="D21" s="36">
        <v>93868347.079999998</v>
      </c>
      <c r="E21" s="36">
        <v>97210432.469999999</v>
      </c>
      <c r="F21" s="36">
        <f>E21-D21</f>
        <v>3342085.3900000006</v>
      </c>
      <c r="G21" s="13">
        <f t="shared" si="0"/>
        <v>6.5562007684020374E-2</v>
      </c>
      <c r="H21" s="13">
        <f t="shared" si="1"/>
        <v>1.0356039654895774</v>
      </c>
    </row>
    <row r="22" spans="1:8" ht="30.6" customHeight="1" x14ac:dyDescent="0.3">
      <c r="A22" s="11"/>
      <c r="B22" s="12" t="s">
        <v>18</v>
      </c>
      <c r="C22" s="36">
        <f>C8+C21</f>
        <v>1122770877</v>
      </c>
      <c r="D22" s="36">
        <f>D8+D21</f>
        <v>1312131365.8799999</v>
      </c>
      <c r="E22" s="36">
        <f>E8+E21</f>
        <v>1364872648.0800002</v>
      </c>
      <c r="F22" s="36">
        <f>F8+F21</f>
        <v>53139698.039999954</v>
      </c>
      <c r="G22" s="13">
        <f t="shared" si="0"/>
        <v>0.9205163352065705</v>
      </c>
      <c r="H22" s="13">
        <f t="shared" si="1"/>
        <v>1.0401951234239635</v>
      </c>
    </row>
    <row r="23" spans="1:8" ht="19.95" customHeight="1" x14ac:dyDescent="0.3">
      <c r="A23" s="11"/>
      <c r="B23" s="12" t="s">
        <v>19</v>
      </c>
      <c r="C23" s="36">
        <f>SUM(C24:C27,C35)</f>
        <v>91473057</v>
      </c>
      <c r="D23" s="36">
        <f>SUM(D24:D27,D35)</f>
        <v>91473057</v>
      </c>
      <c r="E23" s="36">
        <f>SUM(E24:E27,E35)</f>
        <v>117852422.48999999</v>
      </c>
      <c r="F23" s="36">
        <f>E23-D23</f>
        <v>26379365.489999995</v>
      </c>
      <c r="G23" s="13">
        <f t="shared" si="0"/>
        <v>7.9483664793429498E-2</v>
      </c>
      <c r="H23" s="13">
        <f t="shared" si="1"/>
        <v>1.2883839936605594</v>
      </c>
    </row>
    <row r="24" spans="1:8" ht="19.95" customHeight="1" x14ac:dyDescent="0.3">
      <c r="A24" s="14"/>
      <c r="B24" s="15" t="s">
        <v>20</v>
      </c>
      <c r="C24" s="37">
        <v>30000000</v>
      </c>
      <c r="D24" s="37">
        <v>30000000</v>
      </c>
      <c r="E24" s="37">
        <v>91238000</v>
      </c>
      <c r="F24" s="37">
        <f t="shared" ref="F24:F35" si="3">E24-D24</f>
        <v>61238000</v>
      </c>
      <c r="G24" s="17">
        <f t="shared" si="0"/>
        <v>6.1533996970136624E-2</v>
      </c>
      <c r="H24" s="17">
        <f t="shared" si="1"/>
        <v>3.0412666666666666</v>
      </c>
    </row>
    <row r="25" spans="1:8" ht="19.95" customHeight="1" x14ac:dyDescent="0.3">
      <c r="A25" s="14"/>
      <c r="B25" s="18" t="s">
        <v>21</v>
      </c>
      <c r="C25" s="35">
        <v>0</v>
      </c>
      <c r="D25" s="35">
        <v>0</v>
      </c>
      <c r="E25" s="35">
        <v>0</v>
      </c>
      <c r="F25" s="37">
        <f t="shared" si="3"/>
        <v>0</v>
      </c>
      <c r="G25" s="20">
        <f t="shared" si="0"/>
        <v>0</v>
      </c>
      <c r="H25" s="20">
        <f t="shared" si="1"/>
        <v>0</v>
      </c>
    </row>
    <row r="26" spans="1:8" ht="19.95" customHeight="1" x14ac:dyDescent="0.3">
      <c r="A26" s="14"/>
      <c r="B26" s="15" t="s">
        <v>22</v>
      </c>
      <c r="C26" s="35">
        <v>0</v>
      </c>
      <c r="D26" s="37">
        <v>0</v>
      </c>
      <c r="E26" s="37">
        <v>0</v>
      </c>
      <c r="F26" s="37">
        <f t="shared" si="3"/>
        <v>0</v>
      </c>
      <c r="G26" s="17">
        <f t="shared" si="0"/>
        <v>0</v>
      </c>
      <c r="H26" s="17">
        <f t="shared" si="1"/>
        <v>0</v>
      </c>
    </row>
    <row r="27" spans="1:8" ht="19.95" customHeight="1" x14ac:dyDescent="0.3">
      <c r="A27" s="14"/>
      <c r="B27" s="18" t="s">
        <v>23</v>
      </c>
      <c r="C27" s="35">
        <f>SUM(C28:C34)</f>
        <v>61473057</v>
      </c>
      <c r="D27" s="35">
        <f t="shared" ref="D27:E27" si="4">SUM(D28:D34)</f>
        <v>61473057</v>
      </c>
      <c r="E27" s="35">
        <f t="shared" si="4"/>
        <v>26614422.489999998</v>
      </c>
      <c r="F27" s="35">
        <f t="shared" ref="F27" si="5">SUM(F28:F33)</f>
        <v>-34858634.510000005</v>
      </c>
      <c r="G27" s="20">
        <f t="shared" si="0"/>
        <v>1.7949667823292881E-2</v>
      </c>
      <c r="H27" s="20">
        <f t="shared" si="1"/>
        <v>0.43294450916927718</v>
      </c>
    </row>
    <row r="28" spans="1:8" ht="19.95" customHeight="1" x14ac:dyDescent="0.3">
      <c r="A28" s="14"/>
      <c r="B28" s="45" t="s">
        <v>24</v>
      </c>
      <c r="C28" s="43">
        <v>61473057</v>
      </c>
      <c r="D28" s="43">
        <v>61473057</v>
      </c>
      <c r="E28" s="43">
        <v>26614422.489999998</v>
      </c>
      <c r="F28" s="43">
        <f t="shared" si="3"/>
        <v>-34858634.510000005</v>
      </c>
      <c r="G28" s="46">
        <f t="shared" si="0"/>
        <v>1.7949667823292881E-2</v>
      </c>
      <c r="H28" s="46">
        <f t="shared" si="1"/>
        <v>0.43294450916927718</v>
      </c>
    </row>
    <row r="29" spans="1:8" ht="19.95" customHeight="1" x14ac:dyDescent="0.3">
      <c r="A29" s="14"/>
      <c r="B29" s="41" t="s">
        <v>25</v>
      </c>
      <c r="C29" s="42">
        <v>0</v>
      </c>
      <c r="D29" s="42">
        <v>0</v>
      </c>
      <c r="E29" s="42">
        <v>0</v>
      </c>
      <c r="F29" s="43">
        <f t="shared" si="3"/>
        <v>0</v>
      </c>
      <c r="G29" s="44">
        <f t="shared" si="0"/>
        <v>0</v>
      </c>
      <c r="H29" s="44">
        <f t="shared" si="1"/>
        <v>0</v>
      </c>
    </row>
    <row r="30" spans="1:8" ht="19.95" customHeight="1" x14ac:dyDescent="0.3">
      <c r="A30" s="14"/>
      <c r="B30" s="45" t="s">
        <v>26</v>
      </c>
      <c r="C30" s="43">
        <v>0</v>
      </c>
      <c r="D30" s="43">
        <v>0</v>
      </c>
      <c r="E30" s="43">
        <v>0</v>
      </c>
      <c r="F30" s="43">
        <f t="shared" si="3"/>
        <v>0</v>
      </c>
      <c r="G30" s="46">
        <f t="shared" si="0"/>
        <v>0</v>
      </c>
      <c r="H30" s="46">
        <f t="shared" si="1"/>
        <v>0</v>
      </c>
    </row>
    <row r="31" spans="1:8" ht="19.95" customHeight="1" x14ac:dyDescent="0.3">
      <c r="A31" s="14"/>
      <c r="B31" s="41" t="s">
        <v>27</v>
      </c>
      <c r="C31" s="42">
        <v>0</v>
      </c>
      <c r="D31" s="42">
        <v>0</v>
      </c>
      <c r="E31" s="42">
        <v>0</v>
      </c>
      <c r="F31" s="43">
        <f t="shared" si="3"/>
        <v>0</v>
      </c>
      <c r="G31" s="44">
        <f t="shared" si="0"/>
        <v>0</v>
      </c>
      <c r="H31" s="44">
        <f t="shared" si="1"/>
        <v>0</v>
      </c>
    </row>
    <row r="32" spans="1:8" ht="19.95" customHeight="1" x14ac:dyDescent="0.3">
      <c r="A32" s="14"/>
      <c r="B32" s="45" t="s">
        <v>15</v>
      </c>
      <c r="C32" s="43">
        <v>0</v>
      </c>
      <c r="D32" s="43">
        <v>0</v>
      </c>
      <c r="E32" s="43">
        <v>0</v>
      </c>
      <c r="F32" s="43">
        <f t="shared" si="3"/>
        <v>0</v>
      </c>
      <c r="G32" s="46">
        <f t="shared" si="0"/>
        <v>0</v>
      </c>
      <c r="H32" s="46">
        <f t="shared" si="1"/>
        <v>0</v>
      </c>
    </row>
    <row r="33" spans="1:10" ht="19.95" customHeight="1" x14ac:dyDescent="0.3">
      <c r="A33" s="14"/>
      <c r="B33" s="41" t="s">
        <v>32</v>
      </c>
      <c r="C33" s="42">
        <v>0</v>
      </c>
      <c r="D33" s="42">
        <v>0</v>
      </c>
      <c r="E33" s="42">
        <v>0</v>
      </c>
      <c r="F33" s="43">
        <f t="shared" si="3"/>
        <v>0</v>
      </c>
      <c r="G33" s="44">
        <f t="shared" si="0"/>
        <v>0</v>
      </c>
      <c r="H33" s="44">
        <f t="shared" si="1"/>
        <v>0</v>
      </c>
    </row>
    <row r="34" spans="1:10" ht="19.95" customHeight="1" x14ac:dyDescent="0.3">
      <c r="A34" s="14"/>
      <c r="B34" s="41" t="s">
        <v>47</v>
      </c>
      <c r="C34" s="43">
        <v>0</v>
      </c>
      <c r="D34" s="43">
        <v>0</v>
      </c>
      <c r="E34" s="43">
        <v>0</v>
      </c>
      <c r="F34" s="43">
        <f t="shared" si="3"/>
        <v>0</v>
      </c>
      <c r="G34" s="46">
        <f t="shared" si="0"/>
        <v>0</v>
      </c>
      <c r="H34" s="46">
        <f t="shared" si="1"/>
        <v>0</v>
      </c>
    </row>
    <row r="35" spans="1:10" ht="19.95" customHeight="1" x14ac:dyDescent="0.3">
      <c r="A35" s="14"/>
      <c r="B35" s="21" t="s">
        <v>48</v>
      </c>
      <c r="C35" s="37">
        <v>0</v>
      </c>
      <c r="D35" s="37">
        <v>0</v>
      </c>
      <c r="E35" s="37">
        <v>0</v>
      </c>
      <c r="F35" s="37">
        <f t="shared" si="3"/>
        <v>0</v>
      </c>
      <c r="G35" s="17">
        <f t="shared" si="0"/>
        <v>0</v>
      </c>
      <c r="H35" s="17">
        <f t="shared" si="1"/>
        <v>0</v>
      </c>
    </row>
    <row r="36" spans="1:10" ht="19.95" customHeight="1" x14ac:dyDescent="0.3">
      <c r="A36" s="11"/>
      <c r="B36" s="23" t="s">
        <v>28</v>
      </c>
      <c r="C36" s="39">
        <v>0</v>
      </c>
      <c r="D36" s="39">
        <v>0</v>
      </c>
      <c r="E36" s="39">
        <v>0</v>
      </c>
      <c r="F36" s="39">
        <f>E36-D36</f>
        <v>0</v>
      </c>
      <c r="G36" s="24">
        <f t="shared" si="0"/>
        <v>0</v>
      </c>
      <c r="H36" s="24">
        <f t="shared" si="1"/>
        <v>0</v>
      </c>
    </row>
    <row r="37" spans="1:10" ht="25.2" customHeight="1" x14ac:dyDescent="0.3">
      <c r="A37" s="11"/>
      <c r="B37" s="12" t="s">
        <v>29</v>
      </c>
      <c r="C37" s="36">
        <f>C23+C36</f>
        <v>91473057</v>
      </c>
      <c r="D37" s="36">
        <f>D23+D36</f>
        <v>91473057</v>
      </c>
      <c r="E37" s="36">
        <f>E23+E36</f>
        <v>117852422.48999999</v>
      </c>
      <c r="F37" s="36">
        <f>E37-D37</f>
        <v>26379365.489999995</v>
      </c>
      <c r="G37" s="13">
        <f t="shared" si="0"/>
        <v>7.9483664793429498E-2</v>
      </c>
      <c r="H37" s="13">
        <f t="shared" si="1"/>
        <v>1.2883839936605594</v>
      </c>
    </row>
    <row r="38" spans="1:10" ht="22.8" customHeight="1" x14ac:dyDescent="0.3">
      <c r="A38" s="11"/>
      <c r="B38" s="12" t="s">
        <v>30</v>
      </c>
      <c r="C38" s="36">
        <f>C22+C37</f>
        <v>1214243934</v>
      </c>
      <c r="D38" s="36">
        <f>D22+D37</f>
        <v>1403604422.8799999</v>
      </c>
      <c r="E38" s="36">
        <f>E22+E37</f>
        <v>1482725070.5700002</v>
      </c>
      <c r="F38" s="36">
        <f>E38-D38</f>
        <v>79120647.690000296</v>
      </c>
      <c r="G38" s="13">
        <f t="shared" si="0"/>
        <v>1</v>
      </c>
      <c r="H38" s="13">
        <f t="shared" si="1"/>
        <v>1.0563696198161414</v>
      </c>
    </row>
    <row r="39" spans="1:10" x14ac:dyDescent="0.3">
      <c r="A39" s="25"/>
      <c r="C39" s="34"/>
      <c r="D39" s="40"/>
    </row>
    <row r="40" spans="1:10" ht="22.05" customHeight="1" x14ac:dyDescent="0.3">
      <c r="A40" s="3"/>
      <c r="B40" s="51" t="s">
        <v>2</v>
      </c>
      <c r="C40" s="52"/>
      <c r="D40" s="52"/>
      <c r="E40" s="52"/>
      <c r="F40" s="52"/>
      <c r="G40" s="52"/>
      <c r="H40" s="52"/>
    </row>
    <row r="41" spans="1:10" ht="19.95" customHeight="1" x14ac:dyDescent="0.3">
      <c r="A41" s="3"/>
      <c r="B41" s="57" t="s">
        <v>4</v>
      </c>
      <c r="C41" s="52"/>
      <c r="D41" s="52"/>
      <c r="E41" s="52"/>
      <c r="F41" s="52"/>
      <c r="G41" s="52"/>
      <c r="H41" s="52"/>
    </row>
    <row r="42" spans="1:10" x14ac:dyDescent="0.3">
      <c r="A42" s="3"/>
    </row>
    <row r="43" spans="1:10" ht="19.95" customHeight="1" x14ac:dyDescent="0.3">
      <c r="A43" s="26"/>
      <c r="B43" s="5" t="s">
        <v>40</v>
      </c>
      <c r="C43" s="6" t="s">
        <v>41</v>
      </c>
      <c r="D43" s="6" t="s">
        <v>42</v>
      </c>
      <c r="E43" s="6" t="s">
        <v>43</v>
      </c>
      <c r="F43" s="6" t="s">
        <v>44</v>
      </c>
      <c r="G43" s="6" t="s">
        <v>45</v>
      </c>
      <c r="H43" s="6" t="s">
        <v>46</v>
      </c>
    </row>
    <row r="44" spans="1:10" ht="19.95" customHeight="1" x14ac:dyDescent="0.3">
      <c r="A44" s="27"/>
      <c r="B44" s="12" t="s">
        <v>49</v>
      </c>
      <c r="C44" s="36">
        <f>SUM(C45:C47)</f>
        <v>954927141</v>
      </c>
      <c r="D44" s="36">
        <f t="shared" ref="D44:H44" si="6">SUM(D45:D47)</f>
        <v>1147906628.29</v>
      </c>
      <c r="E44" s="36">
        <f t="shared" si="6"/>
        <v>1114371621.8400002</v>
      </c>
      <c r="F44" s="36">
        <f t="shared" si="6"/>
        <v>1097917521.5900002</v>
      </c>
      <c r="G44" s="36">
        <f t="shared" si="6"/>
        <v>1091953180.5999999</v>
      </c>
      <c r="H44" s="36">
        <f t="shared" si="6"/>
        <v>16454100.25</v>
      </c>
    </row>
    <row r="45" spans="1:10" ht="19.95" customHeight="1" x14ac:dyDescent="0.3">
      <c r="A45" s="28"/>
      <c r="B45" s="18" t="s">
        <v>50</v>
      </c>
      <c r="C45" s="35">
        <v>537677953</v>
      </c>
      <c r="D45" s="35">
        <v>639800921.86000001</v>
      </c>
      <c r="E45" s="35">
        <v>633021971.44000006</v>
      </c>
      <c r="F45" s="35">
        <v>633011366.74000001</v>
      </c>
      <c r="G45" s="35">
        <v>628970840.63</v>
      </c>
      <c r="H45" s="35">
        <v>10604.7</v>
      </c>
    </row>
    <row r="46" spans="1:10" ht="19.95" customHeight="1" x14ac:dyDescent="0.3">
      <c r="A46" s="28"/>
      <c r="B46" s="15" t="s">
        <v>51</v>
      </c>
      <c r="C46" s="37">
        <v>12288024</v>
      </c>
      <c r="D46" s="37">
        <v>13005124</v>
      </c>
      <c r="E46" s="37">
        <v>13005018.699999999</v>
      </c>
      <c r="F46" s="37">
        <v>13005018.699999999</v>
      </c>
      <c r="G46" s="37">
        <v>13005018.699999999</v>
      </c>
      <c r="H46" s="37">
        <v>0</v>
      </c>
    </row>
    <row r="47" spans="1:10" ht="19.95" customHeight="1" x14ac:dyDescent="0.3">
      <c r="A47" s="29"/>
      <c r="B47" s="21" t="s">
        <v>52</v>
      </c>
      <c r="C47" s="38">
        <v>404961164</v>
      </c>
      <c r="D47" s="38">
        <v>495100582.43000001</v>
      </c>
      <c r="E47" s="38">
        <v>468344631.69999999</v>
      </c>
      <c r="F47" s="38">
        <v>451901136.14999998</v>
      </c>
      <c r="G47" s="38">
        <v>449977321.26999998</v>
      </c>
      <c r="H47" s="38">
        <v>16443495.550000001</v>
      </c>
    </row>
    <row r="48" spans="1:10" ht="19.95" customHeight="1" x14ac:dyDescent="0.3">
      <c r="A48" s="27"/>
      <c r="B48" s="12" t="s">
        <v>53</v>
      </c>
      <c r="C48" s="35">
        <v>89057282</v>
      </c>
      <c r="D48" s="35">
        <v>93424699.629999995</v>
      </c>
      <c r="E48" s="35">
        <v>93043577.959999993</v>
      </c>
      <c r="F48" s="35">
        <v>93024817.950000003</v>
      </c>
      <c r="G48" s="35">
        <v>93024817.950000003</v>
      </c>
      <c r="H48" s="35">
        <v>18760.009999999998</v>
      </c>
      <c r="J48" s="40"/>
    </row>
    <row r="49" spans="1:8" ht="19.95" customHeight="1" x14ac:dyDescent="0.3">
      <c r="A49" s="27"/>
      <c r="B49" s="12" t="s">
        <v>54</v>
      </c>
      <c r="C49" s="36">
        <f>C44+C48</f>
        <v>1043984423</v>
      </c>
      <c r="D49" s="36">
        <f t="shared" ref="D49:H49" si="7">D44+D48</f>
        <v>1241331327.9200001</v>
      </c>
      <c r="E49" s="36">
        <f t="shared" si="7"/>
        <v>1207415199.8000002</v>
      </c>
      <c r="F49" s="36">
        <f t="shared" si="7"/>
        <v>1190942339.5400002</v>
      </c>
      <c r="G49" s="36">
        <f t="shared" si="7"/>
        <v>1184977998.55</v>
      </c>
      <c r="H49" s="36">
        <f t="shared" si="7"/>
        <v>16472860.26</v>
      </c>
    </row>
    <row r="50" spans="1:8" ht="19.95" customHeight="1" x14ac:dyDescent="0.3">
      <c r="A50" s="27"/>
      <c r="B50" s="12" t="s">
        <v>55</v>
      </c>
      <c r="C50" s="36">
        <f>SUM(C51:C53)</f>
        <v>154148066</v>
      </c>
      <c r="D50" s="36">
        <f t="shared" ref="D50:H50" si="8">SUM(D51:D53)</f>
        <v>236305704.71000001</v>
      </c>
      <c r="E50" s="36">
        <f t="shared" si="8"/>
        <v>193380103.47999999</v>
      </c>
      <c r="F50" s="36">
        <f t="shared" si="8"/>
        <v>119311159.61</v>
      </c>
      <c r="G50" s="36">
        <f t="shared" si="8"/>
        <v>114390148.45</v>
      </c>
      <c r="H50" s="36">
        <f t="shared" si="8"/>
        <v>74068943.870000005</v>
      </c>
    </row>
    <row r="51" spans="1:8" ht="19.95" customHeight="1" x14ac:dyDescent="0.3">
      <c r="A51" s="29"/>
      <c r="B51" s="15" t="s">
        <v>56</v>
      </c>
      <c r="C51" s="37">
        <v>143446066</v>
      </c>
      <c r="D51" s="37">
        <v>226498004.71000001</v>
      </c>
      <c r="E51" s="37">
        <v>183588394.13999999</v>
      </c>
      <c r="F51" s="37">
        <v>109519450.27</v>
      </c>
      <c r="G51" s="37">
        <v>104598439.11</v>
      </c>
      <c r="H51" s="37">
        <v>74068943.870000005</v>
      </c>
    </row>
    <row r="52" spans="1:8" ht="19.95" customHeight="1" x14ac:dyDescent="0.3">
      <c r="A52" s="28"/>
      <c r="B52" s="18" t="s">
        <v>57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</row>
    <row r="53" spans="1:8" ht="19.95" customHeight="1" x14ac:dyDescent="0.3">
      <c r="A53" s="28"/>
      <c r="B53" s="15" t="s">
        <v>58</v>
      </c>
      <c r="C53" s="37">
        <v>10702000</v>
      </c>
      <c r="D53" s="37">
        <v>9807700</v>
      </c>
      <c r="E53" s="37">
        <v>9791709.3399999999</v>
      </c>
      <c r="F53" s="37">
        <v>9791709.3399999999</v>
      </c>
      <c r="G53" s="37">
        <v>9791709.3399999999</v>
      </c>
      <c r="H53" s="37">
        <v>0</v>
      </c>
    </row>
    <row r="54" spans="1:8" ht="19.95" customHeight="1" x14ac:dyDescent="0.3">
      <c r="A54" s="27"/>
      <c r="B54" s="12" t="s">
        <v>59</v>
      </c>
      <c r="C54" s="36">
        <v>8909965</v>
      </c>
      <c r="D54" s="36">
        <v>0.71</v>
      </c>
      <c r="E54" s="36">
        <v>0</v>
      </c>
      <c r="F54" s="36">
        <v>0</v>
      </c>
      <c r="G54" s="36">
        <v>0</v>
      </c>
      <c r="H54" s="36">
        <v>0</v>
      </c>
    </row>
    <row r="55" spans="1:8" ht="19.95" customHeight="1" x14ac:dyDescent="0.3">
      <c r="A55" s="27"/>
      <c r="B55" s="12" t="s">
        <v>60</v>
      </c>
      <c r="C55" s="37">
        <v>0</v>
      </c>
      <c r="D55" s="37">
        <v>4153384.88</v>
      </c>
      <c r="E55" s="37">
        <v>4152720.58</v>
      </c>
      <c r="F55" s="37">
        <v>4152720.58</v>
      </c>
      <c r="G55" s="37">
        <v>4152720.58</v>
      </c>
      <c r="H55" s="37">
        <v>0</v>
      </c>
    </row>
    <row r="56" spans="1:8" ht="19.95" customHeight="1" x14ac:dyDescent="0.3">
      <c r="A56" s="27"/>
      <c r="B56" s="12" t="s">
        <v>61</v>
      </c>
      <c r="C56" s="36">
        <f>C50+C54+C55</f>
        <v>163058031</v>
      </c>
      <c r="D56" s="36">
        <f t="shared" ref="D56:H56" si="9">D50+D54+D55</f>
        <v>240459090.30000001</v>
      </c>
      <c r="E56" s="36">
        <f t="shared" si="9"/>
        <v>197532824.06</v>
      </c>
      <c r="F56" s="36">
        <f t="shared" si="9"/>
        <v>123463880.19</v>
      </c>
      <c r="G56" s="36">
        <f t="shared" si="9"/>
        <v>118542869.03</v>
      </c>
      <c r="H56" s="36">
        <f t="shared" si="9"/>
        <v>74068943.870000005</v>
      </c>
    </row>
    <row r="57" spans="1:8" ht="19.95" customHeight="1" x14ac:dyDescent="0.3">
      <c r="A57" s="27"/>
      <c r="B57" s="12" t="s">
        <v>62</v>
      </c>
      <c r="C57" s="36">
        <f>C49+C56</f>
        <v>1207042454</v>
      </c>
      <c r="D57" s="36">
        <f t="shared" ref="D57:H57" si="10">D49+D56</f>
        <v>1481790418.22</v>
      </c>
      <c r="E57" s="36">
        <f t="shared" si="10"/>
        <v>1404948023.8600001</v>
      </c>
      <c r="F57" s="36">
        <f t="shared" si="10"/>
        <v>1314406219.7300003</v>
      </c>
      <c r="G57" s="36">
        <f t="shared" si="10"/>
        <v>1303520867.5799999</v>
      </c>
      <c r="H57" s="36">
        <f t="shared" si="10"/>
        <v>90541804.13000001</v>
      </c>
    </row>
    <row r="58" spans="1:8" x14ac:dyDescent="0.3">
      <c r="A58" s="3"/>
    </row>
    <row r="59" spans="1:8" ht="22.05" customHeight="1" x14ac:dyDescent="0.3">
      <c r="A59" s="3"/>
      <c r="B59" s="51" t="s">
        <v>3</v>
      </c>
      <c r="C59" s="52"/>
      <c r="D59" s="52"/>
      <c r="E59" s="52"/>
      <c r="F59" s="52"/>
      <c r="G59" s="52"/>
      <c r="H59" s="52"/>
    </row>
    <row r="60" spans="1:8" ht="19.95" customHeight="1" x14ac:dyDescent="0.3">
      <c r="A60" s="3"/>
      <c r="B60" s="57" t="s">
        <v>4</v>
      </c>
      <c r="C60" s="52"/>
      <c r="D60" s="52"/>
      <c r="E60" s="52"/>
      <c r="F60" s="52"/>
      <c r="G60" s="52"/>
      <c r="H60" s="52"/>
    </row>
    <row r="61" spans="1:8" x14ac:dyDescent="0.3">
      <c r="A61" s="3"/>
    </row>
    <row r="62" spans="1:8" ht="19.95" customHeight="1" x14ac:dyDescent="0.3">
      <c r="A62" s="2"/>
      <c r="B62" s="30" t="str">
        <f>IF('[1]ORCAMENTO_A PREENCHER'!A58="","",'[1]ORCAMENTO_A PREENCHER'!A58)</f>
        <v>Descrição</v>
      </c>
      <c r="C62" s="6" t="str">
        <f>IF('[1]ORCAMENTO_A PREENCHER'!B58="","",'[1]ORCAMENTO_A PREENCHER'!B58)</f>
        <v>Valor (R$)</v>
      </c>
      <c r="D62" s="53"/>
      <c r="E62" s="54"/>
    </row>
    <row r="63" spans="1:8" ht="19.95" customHeight="1" x14ac:dyDescent="0.3">
      <c r="A63" s="31"/>
      <c r="B63" s="32" t="str">
        <f>IF('[1]ORCAMENTO_A PREENCHER'!A59="","",'[1]ORCAMENTO_A PREENCHER'!A59)</f>
        <v>Receitas Arrecadada (I)</v>
      </c>
      <c r="C63" s="16">
        <f>E38</f>
        <v>1482725070.5700002</v>
      </c>
      <c r="D63" s="53"/>
      <c r="E63" s="54"/>
    </row>
    <row r="64" spans="1:8" ht="19.95" customHeight="1" x14ac:dyDescent="0.3">
      <c r="A64" s="31"/>
      <c r="B64" s="33" t="str">
        <f>IF('[1]ORCAMENTO_A PREENCHER'!A60="","",'[1]ORCAMENTO_A PREENCHER'!A60)</f>
        <v>Despesas Empenhadas (II)</v>
      </c>
      <c r="C64" s="19">
        <f>E57</f>
        <v>1404948023.8600001</v>
      </c>
      <c r="D64" s="55"/>
      <c r="E64" s="56"/>
    </row>
    <row r="65" spans="1:5" ht="19.95" customHeight="1" x14ac:dyDescent="0.3">
      <c r="A65" s="31"/>
      <c r="B65" s="32" t="str">
        <f>IF('[1]ORCAMENTO_A PREENCHER'!A61="","",'[1]ORCAMENTO_A PREENCHER'!A61)</f>
        <v>Resultado Orçamentário (III = I - II)</v>
      </c>
      <c r="C65" s="16">
        <f>C63-C64</f>
        <v>77777046.710000038</v>
      </c>
      <c r="D65" s="53"/>
      <c r="E65" s="54"/>
    </row>
  </sheetData>
  <mergeCells count="12">
    <mergeCell ref="D65:E65"/>
    <mergeCell ref="B4:H4"/>
    <mergeCell ref="B40:H40"/>
    <mergeCell ref="B41:H41"/>
    <mergeCell ref="B59:H59"/>
    <mergeCell ref="B60:H60"/>
    <mergeCell ref="D62:E62"/>
    <mergeCell ref="J1:Q2"/>
    <mergeCell ref="B2:H2"/>
    <mergeCell ref="B3:H3"/>
    <mergeCell ref="D63:E63"/>
    <mergeCell ref="D64:E64"/>
  </mergeCells>
  <conditionalFormatting sqref="F8:F38">
    <cfRule type="cellIs" dxfId="0" priority="1" operator="lessThan">
      <formula>0</formula>
    </cfRule>
  </conditionalFormatting>
  <pageMargins left="0.7" right="0.7" top="0.75" bottom="0.75" header="0.3" footer="0.3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APENDICE_ORCAMENTO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Moreira Lima</dc:creator>
  <cp:lastModifiedBy>Alisson Moreira Lima</cp:lastModifiedBy>
  <dcterms:created xsi:type="dcterms:W3CDTF">2026-05-02T16:29:15Z</dcterms:created>
  <dcterms:modified xsi:type="dcterms:W3CDTF">2026-05-03T04:45:29Z</dcterms:modified>
</cp:coreProperties>
</file>